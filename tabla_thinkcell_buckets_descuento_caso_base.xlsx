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summa/Documents/GitHub/ci0103/"/>
    </mc:Choice>
  </mc:AlternateContent>
  <xr:revisionPtr revIDLastSave="0" documentId="13_ncr:1_{742694C5-22F8-B946-9B6F-93A8767DEA9B}" xr6:coauthVersionLast="47" xr6:coauthVersionMax="47" xr10:uidLastSave="{00000000-0000-0000-0000-000000000000}"/>
  <bookViews>
    <workbookView xWindow="0" yWindow="500" windowWidth="28800" windowHeight="15860" activeTab="1" xr2:uid="{00000000-000D-0000-FFFF-FFFF00000000}"/>
  </bookViews>
  <sheets>
    <sheet name="thinkcell_buckets_descuento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 a="1"/>
  <c r="A1" i="2" s="1"/>
  <c r="H8" i="2" l="1"/>
  <c r="H9" i="2"/>
  <c r="H10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<sst xmlns="http://schemas.openxmlformats.org/spreadsheetml/2006/main" count="30" uniqueCount="20">
  <si>
    <t>orden_visual</t>
  </si>
  <si>
    <t>categoria_descuento</t>
  </si>
  <si>
    <t>n_ventas</t>
  </si>
  <si>
    <t>monto_real_total</t>
  </si>
  <si>
    <t>porcentaje_monto_real</t>
  </si>
  <si>
    <t>Precio Lista</t>
  </si>
  <si>
    <t>(0,5]</t>
  </si>
  <si>
    <t>(5,10]</t>
  </si>
  <si>
    <t>(10,15]</t>
  </si>
  <si>
    <t>(15,20]</t>
  </si>
  <si>
    <t>(20,25]</t>
  </si>
  <si>
    <t>(25,30]</t>
  </si>
  <si>
    <t>(30,35]</t>
  </si>
  <si>
    <t>(35,40]</t>
  </si>
  <si>
    <t>(40,45]</t>
  </si>
  <si>
    <t>(45,50]</t>
  </si>
  <si>
    <t>(50,55]</t>
  </si>
  <si>
    <t>(55,60]</t>
  </si>
  <si>
    <t>Mayor descuento</t>
  </si>
  <si>
    <t>25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</si>
</sst>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$&quot;* #,##0_-;\-&quot;$&quot;* #,##0_-;_-&quot;$&quot;* &quot;-&quot;_-;_-@_-"/>
    <numFmt numFmtId="41" formatCode="_-* #,##0_-;\-* #,##0_-;_-* &quot;-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4">
    <xf numFmtId="0" fontId="0" fillId="0" borderId="0" xfId="0"/>
    <xf numFmtId="41" fontId="2" fillId="0" borderId="0" xfId="1" applyFont="1"/>
    <xf numFmtId="2" fontId="2" fillId="0" borderId="0" xfId="0" applyNumberFormat="1" applyFont="1"/>
    <xf numFmtId="42" fontId="0" fillId="0" borderId="0" xfId="2" applyFont="1"/>
  </cellXfs>
  <cellStyles count="3">
    <cellStyle name="Comma [0]" xfId="1" builtinId="6"/>
    <cellStyle name="Currency [0]" xfId="2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>
        <v>6303087</v>
      </c>
      <c r="D2">
        <v>95246794709</v>
      </c>
      <c r="E2">
        <v>60.963766485293469</v>
      </c>
    </row>
    <row r="3" spans="1:5" x14ac:dyDescent="0.2">
      <c r="A3">
        <v>2</v>
      </c>
      <c r="B3" t="s">
        <v>6</v>
      </c>
      <c r="C3">
        <v>1140112</v>
      </c>
      <c r="D3">
        <v>28073886186</v>
      </c>
      <c r="E3">
        <v>17.96900197016592</v>
      </c>
    </row>
    <row r="4" spans="1:5" x14ac:dyDescent="0.2">
      <c r="A4">
        <v>3</v>
      </c>
      <c r="B4" t="s">
        <v>7</v>
      </c>
      <c r="C4">
        <v>826101</v>
      </c>
      <c r="D4">
        <v>17859410756</v>
      </c>
      <c r="E4">
        <v>11.43111377364642</v>
      </c>
    </row>
    <row r="5" spans="1:5" x14ac:dyDescent="0.2">
      <c r="A5">
        <v>4</v>
      </c>
      <c r="B5" t="s">
        <v>8</v>
      </c>
      <c r="C5">
        <v>453303</v>
      </c>
      <c r="D5">
        <v>8856968206</v>
      </c>
      <c r="E5">
        <v>5.6690006538060613</v>
      </c>
    </row>
    <row r="6" spans="1:5" x14ac:dyDescent="0.2">
      <c r="A6">
        <v>5</v>
      </c>
      <c r="B6" t="s">
        <v>9</v>
      </c>
      <c r="C6">
        <v>365406</v>
      </c>
      <c r="D6">
        <v>5312015200</v>
      </c>
      <c r="E6">
        <v>3.400014196892752</v>
      </c>
    </row>
    <row r="7" spans="1:5" x14ac:dyDescent="0.2">
      <c r="A7">
        <v>6</v>
      </c>
      <c r="B7" t="s">
        <v>10</v>
      </c>
      <c r="C7">
        <v>29725</v>
      </c>
      <c r="D7">
        <v>392441826</v>
      </c>
      <c r="E7">
        <v>0.25118673979971212</v>
      </c>
    </row>
    <row r="8" spans="1:5" x14ac:dyDescent="0.2">
      <c r="A8">
        <v>7</v>
      </c>
      <c r="B8" t="s">
        <v>11</v>
      </c>
      <c r="C8">
        <v>2264</v>
      </c>
      <c r="D8">
        <v>52210804</v>
      </c>
      <c r="E8">
        <v>3.3418103704067878E-2</v>
      </c>
    </row>
    <row r="9" spans="1:5" x14ac:dyDescent="0.2">
      <c r="A9">
        <v>8</v>
      </c>
      <c r="B9" t="s">
        <v>12</v>
      </c>
      <c r="C9">
        <v>1142</v>
      </c>
      <c r="D9">
        <v>34897706</v>
      </c>
      <c r="E9">
        <v>2.233666346417635E-2</v>
      </c>
    </row>
    <row r="10" spans="1:5" x14ac:dyDescent="0.2">
      <c r="A10">
        <v>9</v>
      </c>
      <c r="B10" t="s">
        <v>13</v>
      </c>
      <c r="C10">
        <v>324</v>
      </c>
      <c r="D10">
        <v>7987699</v>
      </c>
      <c r="E10">
        <v>5.1126152652021858E-3</v>
      </c>
    </row>
    <row r="11" spans="1:5" x14ac:dyDescent="0.2">
      <c r="A11">
        <v>10</v>
      </c>
      <c r="B11" t="s">
        <v>14</v>
      </c>
      <c r="C11">
        <v>167</v>
      </c>
      <c r="D11">
        <v>5758571</v>
      </c>
      <c r="E11">
        <v>3.685837185446099E-3</v>
      </c>
    </row>
    <row r="12" spans="1:5" x14ac:dyDescent="0.2">
      <c r="A12">
        <v>11</v>
      </c>
      <c r="B12" t="s">
        <v>15</v>
      </c>
      <c r="C12">
        <v>8689</v>
      </c>
      <c r="D12">
        <v>142434505</v>
      </c>
      <c r="E12">
        <v>9.1166783394631801E-2</v>
      </c>
    </row>
    <row r="13" spans="1:5" x14ac:dyDescent="0.2">
      <c r="A13">
        <v>12</v>
      </c>
      <c r="B13" t="s">
        <v>16</v>
      </c>
      <c r="C13">
        <v>10131</v>
      </c>
      <c r="D13">
        <v>155214904</v>
      </c>
      <c r="E13">
        <v>9.9347019407878517E-2</v>
      </c>
    </row>
    <row r="14" spans="1:5" x14ac:dyDescent="0.2">
      <c r="A14">
        <v>13</v>
      </c>
      <c r="B14" t="s">
        <v>17</v>
      </c>
      <c r="C14">
        <v>5905</v>
      </c>
      <c r="D14">
        <v>80026285</v>
      </c>
      <c r="E14">
        <v>5.1221710571269737E-2</v>
      </c>
    </row>
    <row r="15" spans="1:5" x14ac:dyDescent="0.2">
      <c r="A15">
        <v>14</v>
      </c>
      <c r="B15" t="s">
        <v>18</v>
      </c>
      <c r="C15">
        <v>1646</v>
      </c>
      <c r="D15">
        <v>15041451</v>
      </c>
      <c r="E15">
        <v>9.627447402986853E-3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78BDA-1A26-EA41-B57A-CE74D309FF15}">
  <dimension ref="A1:O10"/>
  <sheetViews>
    <sheetView tabSelected="1" workbookViewId="0">
      <selection activeCell="G21" sqref="G21"/>
    </sheetView>
  </sheetViews>
  <sheetFormatPr baseColWidth="10" defaultRowHeight="15" x14ac:dyDescent="0.2"/>
  <cols>
    <col min="2" max="4" width="15.6640625" bestFit="1" customWidth="1"/>
    <col min="5" max="6" width="14.6640625" bestFit="1" customWidth="1"/>
    <col min="7" max="8" width="13.1640625" bestFit="1" customWidth="1"/>
  </cols>
  <sheetData>
    <row r="1" spans="1:15" x14ac:dyDescent="0.2">
      <c r="A1" t="str" cm="1">
        <f t="array" ref="A1:O5" xml:space="preserve"> TRANSPOSE(thinkcell_buckets_descuento!A1:E15)</f>
        <v>orden_visual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 x14ac:dyDescent="0.2">
      <c r="A2" t="str">
        <v>categoria_descuento</v>
      </c>
      <c r="B2" t="str">
        <v>Precio Lista</v>
      </c>
      <c r="C2" t="str">
        <v>(0,5]</v>
      </c>
      <c r="D2" t="str">
        <v>(5,10]</v>
      </c>
      <c r="E2" t="str">
        <v>(10,15]</v>
      </c>
      <c r="F2" t="str">
        <v>(15,20]</v>
      </c>
      <c r="G2" t="str">
        <v>(20,25]</v>
      </c>
      <c r="H2" t="str">
        <v>(25,30]</v>
      </c>
      <c r="I2" t="str">
        <v>(30,35]</v>
      </c>
      <c r="J2" t="str">
        <v>(35,40]</v>
      </c>
      <c r="K2" t="str">
        <v>(40,45]</v>
      </c>
      <c r="L2" t="str">
        <v>(45,50]</v>
      </c>
      <c r="M2" t="str">
        <v>(50,55]</v>
      </c>
      <c r="N2" t="str">
        <v>(55,60]</v>
      </c>
      <c r="O2" t="str">
        <v>Mayor descuento</v>
      </c>
    </row>
    <row r="3" spans="1:15" x14ac:dyDescent="0.2">
      <c r="A3" t="str">
        <v>n_ventas</v>
      </c>
      <c r="B3">
        <v>6303087</v>
      </c>
      <c r="C3">
        <v>1140112</v>
      </c>
      <c r="D3">
        <v>826101</v>
      </c>
      <c r="E3">
        <v>453303</v>
      </c>
      <c r="F3">
        <v>365406</v>
      </c>
      <c r="G3">
        <v>29725</v>
      </c>
      <c r="H3">
        <v>2264</v>
      </c>
      <c r="I3">
        <v>1142</v>
      </c>
      <c r="J3">
        <v>324</v>
      </c>
      <c r="K3">
        <v>167</v>
      </c>
      <c r="L3">
        <v>8689</v>
      </c>
      <c r="M3">
        <v>10131</v>
      </c>
      <c r="N3">
        <v>5905</v>
      </c>
      <c r="O3">
        <v>1646</v>
      </c>
    </row>
    <row r="4" spans="1:15" x14ac:dyDescent="0.2">
      <c r="A4" t="str">
        <v>monto_real_total</v>
      </c>
      <c r="B4">
        <v>95246794709</v>
      </c>
      <c r="C4">
        <v>28073886186</v>
      </c>
      <c r="D4">
        <v>17859410756</v>
      </c>
      <c r="E4">
        <v>8856968206</v>
      </c>
      <c r="F4">
        <v>5312015200</v>
      </c>
      <c r="G4">
        <v>392441826</v>
      </c>
      <c r="H4">
        <v>52210804</v>
      </c>
      <c r="I4">
        <v>34897706</v>
      </c>
      <c r="J4">
        <v>7987699</v>
      </c>
      <c r="K4">
        <v>5758571</v>
      </c>
      <c r="L4">
        <v>142434505</v>
      </c>
      <c r="M4">
        <v>155214904</v>
      </c>
      <c r="N4">
        <v>80026285</v>
      </c>
      <c r="O4">
        <v>15041451</v>
      </c>
    </row>
    <row r="5" spans="1:15" x14ac:dyDescent="0.2">
      <c r="A5" t="str">
        <v>porcentaje_monto_real</v>
      </c>
      <c r="B5">
        <v>60.963766485293469</v>
      </c>
      <c r="C5">
        <v>17.96900197016592</v>
      </c>
      <c r="D5">
        <v>11.43111377364642</v>
      </c>
      <c r="E5">
        <v>5.6690006538060613</v>
      </c>
      <c r="F5">
        <v>3.400014196892752</v>
      </c>
      <c r="G5">
        <v>0.25118673979971212</v>
      </c>
      <c r="H5">
        <v>3.3418103704067878E-2</v>
      </c>
      <c r="I5">
        <v>2.233666346417635E-2</v>
      </c>
      <c r="J5">
        <v>5.1126152652021858E-3</v>
      </c>
      <c r="K5">
        <v>3.685837185446099E-3</v>
      </c>
      <c r="L5">
        <v>9.1166783394631801E-2</v>
      </c>
      <c r="M5">
        <v>9.9347019407878517E-2</v>
      </c>
      <c r="N5">
        <v>5.1221710571269737E-2</v>
      </c>
      <c r="O5">
        <v>9.627447402986853E-3</v>
      </c>
    </row>
    <row r="7" spans="1:15" x14ac:dyDescent="0.2">
      <c r="A7" t="s">
        <v>1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19</v>
      </c>
    </row>
    <row r="8" spans="1:15" x14ac:dyDescent="0.2">
      <c r="A8" t="s">
        <v>2</v>
      </c>
      <c r="B8" s="1">
        <v>6303087</v>
      </c>
      <c r="C8" s="1">
        <v>1140112</v>
      </c>
      <c r="D8" s="1">
        <v>826101</v>
      </c>
      <c r="E8" s="1">
        <v>453303</v>
      </c>
      <c r="F8" s="1">
        <v>365406</v>
      </c>
      <c r="G8" s="1">
        <v>29725</v>
      </c>
      <c r="H8" s="1">
        <f>SUM(H3:O3)</f>
        <v>30268</v>
      </c>
    </row>
    <row r="9" spans="1:15" x14ac:dyDescent="0.2">
      <c r="A9" t="s">
        <v>3</v>
      </c>
      <c r="B9" s="3">
        <v>95246794709</v>
      </c>
      <c r="C9" s="3">
        <v>28073886186</v>
      </c>
      <c r="D9" s="3">
        <v>17859410756</v>
      </c>
      <c r="E9" s="3">
        <v>8856968206</v>
      </c>
      <c r="F9" s="3">
        <v>5312015200</v>
      </c>
      <c r="G9" s="3">
        <v>392441826</v>
      </c>
      <c r="H9" s="3">
        <f>SUM(H4:O4)</f>
        <v>493571925</v>
      </c>
    </row>
    <row r="10" spans="1:15" x14ac:dyDescent="0.2">
      <c r="A10" t="s">
        <v>4</v>
      </c>
      <c r="B10" s="2">
        <v>60.963766485293469</v>
      </c>
      <c r="C10" s="2">
        <v>17.96900197016592</v>
      </c>
      <c r="D10" s="2">
        <v>11.43111377364642</v>
      </c>
      <c r="E10" s="2">
        <v>5.6690006538060613</v>
      </c>
      <c r="F10" s="2">
        <v>3.400014196892752</v>
      </c>
      <c r="G10" s="2">
        <v>0.25118673979971212</v>
      </c>
      <c r="H10" s="2">
        <f>SUM(H5:O5)</f>
        <v>0.31591618039565944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thinkcell_buckets_descuento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Vicente Migone</cp:lastModifiedBy>
  <dcterms:created xsi:type="dcterms:W3CDTF">2026-05-08T01:19:58Z</dcterms:created>
  <dcterms:modified xsi:type="dcterms:W3CDTF">2026-05-08T01:47:15Z</dcterms:modified>
</cp:coreProperties>
</file>
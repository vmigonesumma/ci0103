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umma/Documents/GitHub/ci0103/"/>
    </mc:Choice>
  </mc:AlternateContent>
  <xr:revisionPtr revIDLastSave="0" documentId="13_ncr:1_{7E07E8F4-8D82-9F4C-A11E-C2F98BD72A34}" xr6:coauthVersionLast="47" xr6:coauthVersionMax="47" xr10:uidLastSave="{00000000-0000-0000-0000-000000000000}"/>
  <bookViews>
    <workbookView xWindow="0" yWindow="500" windowWidth="28800" windowHeight="159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D18" i="2"/>
  <c r="E18" i="2"/>
  <c r="F18" i="2"/>
  <c r="G18" i="2"/>
  <c r="C18" i="2"/>
</calcChain>
</file>

<file path=xl/sharedStrings.xml><?xml version="1.0" encoding="utf-8"?>
<sst xmlns="http://schemas.openxmlformats.org/spreadsheetml/2006/main" count="81" uniqueCount="58">
  <si>
    <t>cluster_label</t>
  </si>
  <si>
    <t>NumClientes</t>
  </si>
  <si>
    <t>Ingresos</t>
  </si>
  <si>
    <t>Margen 2</t>
  </si>
  <si>
    <t>EBITDA</t>
  </si>
  <si>
    <t>Ingresos/cliente</t>
  </si>
  <si>
    <t>Margen 2/cliente</t>
  </si>
  <si>
    <t>EBITDA/cliente</t>
  </si>
  <si>
    <t>etiqueta_x</t>
  </si>
  <si>
    <t>Cluster 16</t>
  </si>
  <si>
    <t>Cluster 16
(25 clientes)</t>
  </si>
  <si>
    <t>Cluster 7</t>
  </si>
  <si>
    <t>Cluster 7
(209 clientes)</t>
  </si>
  <si>
    <t>Cluster 6</t>
  </si>
  <si>
    <t>Cluster 6
(1,093 clientes)</t>
  </si>
  <si>
    <t>Cluster 11</t>
  </si>
  <si>
    <t>Cluster 11
(6,574 clientes)</t>
  </si>
  <si>
    <t>Cluster 12</t>
  </si>
  <si>
    <t>Cluster 12
(111 clientes)</t>
  </si>
  <si>
    <t>Cluster 2</t>
  </si>
  <si>
    <t>Cluster 2
(193 clientes)</t>
  </si>
  <si>
    <t>Cluster 15</t>
  </si>
  <si>
    <t>Cluster 15
(3,324 clientes)</t>
  </si>
  <si>
    <t>Cluster 10</t>
  </si>
  <si>
    <t>Cluster 10
(345 clientes)</t>
  </si>
  <si>
    <t>Cluster 5</t>
  </si>
  <si>
    <t>Cluster 5
(1,131 clientes)</t>
  </si>
  <si>
    <t>Cluster 14</t>
  </si>
  <si>
    <t>Cluster 14
(3,177 clientes)</t>
  </si>
  <si>
    <t>Cluster 8</t>
  </si>
  <si>
    <t>Cluster 8
(2,766 clientes)</t>
  </si>
  <si>
    <t>Cluster 1</t>
  </si>
  <si>
    <t>Cluster 1
(3,715 clientes)</t>
  </si>
  <si>
    <t>Cluster 4</t>
  </si>
  <si>
    <t>Cluster 4
(4,659 clientes)</t>
  </si>
  <si>
    <t>Cluster 9</t>
  </si>
  <si>
    <t>Cluster 9
(5,283 clientes)</t>
  </si>
  <si>
    <t>Cluster 13</t>
  </si>
  <si>
    <t>Cluster 13
(1,517 clientes)</t>
  </si>
  <si>
    <t>Cluster 3</t>
  </si>
  <si>
    <t>Cluster 3
(590 clientes)</t>
  </si>
  <si>
    <t>Nombre</t>
  </si>
  <si>
    <t>Queseros ticket medio-bajo</t>
  </si>
  <si>
    <t>Parrilleros con Vienesas</t>
  </si>
  <si>
    <t>Dormidos baja frecuencia</t>
  </si>
  <si>
    <t>Mortadelas granel</t>
  </si>
  <si>
    <t>Mixtos San Jorge</t>
  </si>
  <si>
    <t>Alto valor granel-jamones</t>
  </si>
  <si>
    <t>Grandes multiproducto frecuentes</t>
  </si>
  <si>
    <t>Jamón G2 granel</t>
  </si>
  <si>
    <t>Vienesas San Jorge bajo ticket</t>
  </si>
  <si>
    <t>Parrilleros mixtos</t>
  </si>
  <si>
    <t>Multiproducto frecuentes balanceados</t>
  </si>
  <si>
    <t>Parrilleros puros</t>
  </si>
  <si>
    <t>Rezagados canasta mixta</t>
  </si>
  <si>
    <t>Jamón G1 granel</t>
  </si>
  <si>
    <t>Multiproducto San Jorge</t>
  </si>
  <si>
    <t>Mega clientes multiproducto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</si>
</sst>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$&quot;* #,##0_-;\-&quot;$&quot;* #,##0_-;_-&quot;$&quot;* &quot;-&quot;_-;_-@_-"/>
    <numFmt numFmtId="41" formatCode="_-* #,##0_-;\-* #,##0_-;_-* &quot;-&quot;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A5D6FF"/>
      <name val="Menlo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000000"/>
      <name val="Arial"/>
      <family val="2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4F81BD"/>
        <bgColor rgb="FF4F81BD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rgb="FF4F81BD"/>
      </top>
      <bottom/>
      <diagonal/>
    </border>
    <border>
      <left/>
      <right/>
      <top style="thin">
        <color rgb="FF4F81BD"/>
      </top>
      <bottom style="thin">
        <color rgb="FF4F81BD"/>
      </bottom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8">
    <xf numFmtId="0" fontId="0" fillId="0" borderId="0" xfId="0"/>
    <xf numFmtId="42" fontId="0" fillId="0" borderId="0" xfId="1" applyFont="1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3" fillId="0" borderId="0" xfId="0" applyFont="1"/>
    <xf numFmtId="42" fontId="0" fillId="0" borderId="1" xfId="1" applyFont="1" applyBorder="1"/>
    <xf numFmtId="42" fontId="0" fillId="0" borderId="2" xfId="1" applyFont="1" applyBorder="1"/>
    <xf numFmtId="0" fontId="4" fillId="3" borderId="3" xfId="0" applyFont="1" applyFill="1" applyBorder="1"/>
    <xf numFmtId="42" fontId="5" fillId="0" borderId="3" xfId="0" applyNumberFormat="1" applyFont="1" applyBorder="1"/>
    <xf numFmtId="42" fontId="5" fillId="0" borderId="4" xfId="0" applyNumberFormat="1" applyFont="1" applyBorder="1"/>
    <xf numFmtId="0" fontId="3" fillId="0" borderId="3" xfId="0" applyFont="1" applyBorder="1"/>
    <xf numFmtId="0" fontId="5" fillId="0" borderId="3" xfId="0" applyFont="1" applyBorder="1"/>
    <xf numFmtId="0" fontId="3" fillId="0" borderId="4" xfId="0" applyFont="1" applyBorder="1"/>
    <xf numFmtId="42" fontId="1" fillId="0" borderId="1" xfId="0" applyNumberFormat="1" applyFont="1" applyBorder="1"/>
    <xf numFmtId="41" fontId="6" fillId="0" borderId="3" xfId="2" applyFont="1" applyBorder="1" applyAlignment="1">
      <alignment horizontal="center" vertical="center"/>
    </xf>
    <xf numFmtId="41" fontId="6" fillId="0" borderId="4" xfId="2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</cellXfs>
  <cellStyles count="3">
    <cellStyle name="Comma [0]" xfId="2" builtinId="6"/>
    <cellStyle name="Currency [0]" xfId="1" builtinId="7"/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4F81BD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4F81BD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rgb="FF4F81BD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2" formatCode="_-&quot;$&quot;* #,##0_-;\-&quot;$&quot;* #,##0_-;_-&quot;$&quot;* &quot;-&quot;_-;_-@_-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A5D6FF"/>
        <name val="Menlo"/>
        <family val="2"/>
        <scheme val="none"/>
      </font>
      <border diagonalUp="0" diagonalDown="0" outline="0">
        <left/>
        <right/>
        <top style="thin">
          <color rgb="FF4F81BD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A5D6FF"/>
        <name val="Menlo"/>
        <family val="2"/>
        <scheme val="none"/>
      </font>
      <border diagonalUp="0" diagonalDown="0">
        <left/>
        <right/>
        <top style="thin">
          <color rgb="FF4F81BD"/>
        </top>
        <bottom/>
        <vertical/>
        <horizontal/>
      </border>
    </dxf>
    <dxf>
      <border outline="0">
        <left style="thin">
          <color rgb="FF4F81BD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F81BD"/>
          <bgColor rgb="FF4F81B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61254A-D0E9-5442-9F5E-8C030513557A}" name="Table1" displayName="Table1" ref="A1:J17" totalsRowShown="0" dataDxfId="9" dataCellStyle="Currency [0]">
  <autoFilter ref="A1:J17" xr:uid="{F261254A-D0E9-5442-9F5E-8C030513557A}"/>
  <sortState xmlns:xlrd2="http://schemas.microsoft.com/office/spreadsheetml/2017/richdata2" ref="A2:J17">
    <sortCondition ref="B1:B17"/>
  </sortState>
  <tableColumns count="10">
    <tableColumn id="1" xr3:uid="{B618C0B3-00BD-304E-BBF8-EDB91A7525A5}" name="Nombre"/>
    <tableColumn id="2" xr3:uid="{24B66FB1-6F87-374B-AB9D-491D94524C8D}" name="cluster_label"/>
    <tableColumn id="3" xr3:uid="{0400D61B-8511-E446-8479-0DBDE7860E13}" name="NumClientes"/>
    <tableColumn id="4" xr3:uid="{6276A984-F35C-0542-AD89-DC1CFFDF73E6}" name="Ingresos" dataDxfId="8" dataCellStyle="Currency [0]"/>
    <tableColumn id="5" xr3:uid="{C368CF7C-0837-2A4D-9015-D845A42447F6}" name="Margen 2" dataDxfId="7" dataCellStyle="Currency [0]"/>
    <tableColumn id="6" xr3:uid="{4D8B71DF-7FD3-8740-863A-B1D8A69606AA}" name="EBITDA" dataDxfId="6" dataCellStyle="Currency [0]"/>
    <tableColumn id="7" xr3:uid="{229A7D0B-1F24-9B4F-BE89-831543670434}" name="Ingresos/cliente" dataDxfId="5" dataCellStyle="Currency [0]"/>
    <tableColumn id="8" xr3:uid="{3836F1C3-E622-3D4B-9650-A4F86A082517}" name="Margen 2/cliente" dataDxfId="4" dataCellStyle="Currency [0]"/>
    <tableColumn id="9" xr3:uid="{814A445A-00F4-904F-ABC5-6F00FECE0584}" name="EBITDA/cliente" dataDxfId="3" dataCellStyle="Currency [0]"/>
    <tableColumn id="10" xr3:uid="{763DF743-59ED-A847-B42A-4350939C8853}" name="etiqueta_x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B1A666-6F46-0F42-9AB4-4D1931C19FA1}" name="Table2" displayName="Table2" ref="A1:G18" totalsRowCount="1" headerRowDxfId="23" dataDxfId="22" tableBorderDxfId="21">
  <autoFilter ref="A1:G17" xr:uid="{BFB1A666-6F46-0F42-9AB4-4D1931C19FA1}"/>
  <sortState xmlns:xlrd2="http://schemas.microsoft.com/office/spreadsheetml/2017/richdata2" ref="A2:G17">
    <sortCondition descending="1" ref="D1:D17"/>
  </sortState>
  <tableColumns count="7">
    <tableColumn id="1" xr3:uid="{375165BE-51C4-D147-BB8A-1D2DCD8FF5AB}" name="Nombre" dataDxfId="20" totalsRowDxfId="19"/>
    <tableColumn id="2" xr3:uid="{810A1A25-3C99-D54A-BE07-7608DD1D004F}" name="NumClientes" dataDxfId="18" totalsRowDxfId="17"/>
    <tableColumn id="3" xr3:uid="{8893BFEA-3D85-8046-B94C-AF1E0E8232A8}" name="Ingresos" totalsRowFunction="custom" dataDxfId="16" totalsRowDxfId="15" dataCellStyle="Currency [0]" totalsRowCellStyle="Currency [0]">
      <totalsRowFormula>SUM(Table2[Ingresos])</totalsRowFormula>
    </tableColumn>
    <tableColumn id="4" xr3:uid="{DFD9D848-CBF2-1D44-B19D-CD2E1B62C465}" name="Margen 2" totalsRowFunction="custom" dataDxfId="14" totalsRowDxfId="13" dataCellStyle="Currency [0]" totalsRowCellStyle="Currency [0]">
      <totalsRowFormula>SUM(Table2[Margen 2])</totalsRowFormula>
    </tableColumn>
    <tableColumn id="5" xr3:uid="{B3FD43D3-D5AD-0548-AE84-016CDB571FC4}" name="Ingresos/cliente" totalsRowFunction="custom" dataDxfId="2" totalsRowDxfId="12" totalsRowCellStyle="Currency [0]">
      <totalsRowFormula>SUM(Table2[Ingresos/cliente])</totalsRowFormula>
    </tableColumn>
    <tableColumn id="6" xr3:uid="{83868F0A-F717-254F-B386-B5692A3A1A54}" name="Margen 2/cliente" totalsRowFunction="custom" dataDxfId="1" totalsRowDxfId="11" dataCellStyle="Comma [0]" totalsRowCellStyle="Currency [0]">
      <totalsRowFormula>SUM(Table2[Margen 2/cliente])</totalsRowFormula>
    </tableColumn>
    <tableColumn id="7" xr3:uid="{CD7AEE19-3121-884B-9595-34CA2CC8101B}" name="EBITDA/cliente" totalsRowFunction="custom" dataDxfId="0" totalsRowDxfId="10" dataCellStyle="Comma [0]" totalsRowCellStyle="Currency [0]">
      <totalsRowFormula>SUM(Table2[EBITDA/cliente])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workbookViewId="0">
      <selection activeCell="G1" sqref="G1:I17"/>
    </sheetView>
  </sheetViews>
  <sheetFormatPr baseColWidth="10" defaultColWidth="8.83203125" defaultRowHeight="15" x14ac:dyDescent="0.2"/>
  <cols>
    <col min="1" max="1" width="10.5" customWidth="1"/>
    <col min="2" max="3" width="13.1640625" customWidth="1"/>
    <col min="4" max="4" width="15.6640625" bestFit="1" customWidth="1"/>
    <col min="5" max="6" width="14.6640625" bestFit="1" customWidth="1"/>
    <col min="7" max="7" width="15.5" customWidth="1"/>
    <col min="8" max="8" width="16.33203125" customWidth="1"/>
    <col min="9" max="9" width="14.6640625" customWidth="1"/>
    <col min="10" max="10" width="20.6640625" bestFit="1" customWidth="1"/>
  </cols>
  <sheetData>
    <row r="1" spans="1:10" x14ac:dyDescent="0.2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t="16" x14ac:dyDescent="0.2">
      <c r="A2" s="5" t="s">
        <v>42</v>
      </c>
      <c r="B2" t="s">
        <v>31</v>
      </c>
      <c r="C2">
        <v>3715</v>
      </c>
      <c r="D2" s="1">
        <v>3528990871</v>
      </c>
      <c r="E2" s="1">
        <v>405804401.0355202</v>
      </c>
      <c r="F2" s="1">
        <v>177934842.8796446</v>
      </c>
      <c r="G2" s="1">
        <v>949930.24791386269</v>
      </c>
      <c r="H2" s="1">
        <v>109234.02450485071</v>
      </c>
      <c r="I2" s="1">
        <v>47896.323789944698</v>
      </c>
      <c r="J2" t="s">
        <v>32</v>
      </c>
    </row>
    <row r="3" spans="1:10" ht="16" x14ac:dyDescent="0.2">
      <c r="A3" s="5" t="s">
        <v>51</v>
      </c>
      <c r="B3" t="s">
        <v>23</v>
      </c>
      <c r="C3">
        <v>345</v>
      </c>
      <c r="D3" s="1">
        <v>466433956</v>
      </c>
      <c r="E3" s="1">
        <v>84095045.537973151</v>
      </c>
      <c r="F3" s="1">
        <v>52440368.302180357</v>
      </c>
      <c r="G3" s="1">
        <v>1351982.48115942</v>
      </c>
      <c r="H3" s="1">
        <v>243753.75518253091</v>
      </c>
      <c r="I3" s="1">
        <v>152001.06754255181</v>
      </c>
      <c r="J3" t="s">
        <v>24</v>
      </c>
    </row>
    <row r="4" spans="1:10" ht="16" x14ac:dyDescent="0.2">
      <c r="A4" s="5" t="s">
        <v>52</v>
      </c>
      <c r="B4" t="s">
        <v>15</v>
      </c>
      <c r="C4">
        <v>6574</v>
      </c>
      <c r="D4" s="1">
        <v>14957433585</v>
      </c>
      <c r="E4" s="1">
        <v>2957330133.9337678</v>
      </c>
      <c r="F4" s="1">
        <v>1967375102.75314</v>
      </c>
      <c r="G4" s="1">
        <v>2275240.8860663222</v>
      </c>
      <c r="H4" s="1">
        <v>449852.46941493283</v>
      </c>
      <c r="I4" s="1">
        <v>299266.06369837851</v>
      </c>
      <c r="J4" t="s">
        <v>16</v>
      </c>
    </row>
    <row r="5" spans="1:10" ht="16" x14ac:dyDescent="0.2">
      <c r="A5" s="5" t="s">
        <v>53</v>
      </c>
      <c r="B5" t="s">
        <v>17</v>
      </c>
      <c r="C5">
        <v>111</v>
      </c>
      <c r="D5" s="1">
        <v>185694520</v>
      </c>
      <c r="E5" s="1">
        <v>40308116.182002969</v>
      </c>
      <c r="F5" s="1">
        <v>27960430.566963792</v>
      </c>
      <c r="G5" s="1">
        <v>1672923.603603604</v>
      </c>
      <c r="H5" s="1">
        <v>363136.18181984662</v>
      </c>
      <c r="I5" s="1">
        <v>251895.77087354759</v>
      </c>
      <c r="J5" t="s">
        <v>18</v>
      </c>
    </row>
    <row r="6" spans="1:10" ht="16" x14ac:dyDescent="0.2">
      <c r="A6" s="5" t="s">
        <v>54</v>
      </c>
      <c r="B6" t="s">
        <v>37</v>
      </c>
      <c r="C6">
        <v>1517</v>
      </c>
      <c r="D6" s="1">
        <v>664281933</v>
      </c>
      <c r="E6" s="1">
        <v>122533834.4848543</v>
      </c>
      <c r="F6" s="1">
        <v>79767870.520117328</v>
      </c>
      <c r="G6" s="1">
        <v>437891.84772577463</v>
      </c>
      <c r="H6" s="1">
        <v>80773.786740180818</v>
      </c>
      <c r="I6" s="1">
        <v>52582.643717941537</v>
      </c>
      <c r="J6" t="s">
        <v>38</v>
      </c>
    </row>
    <row r="7" spans="1:10" x14ac:dyDescent="0.2">
      <c r="A7" t="s">
        <v>55</v>
      </c>
      <c r="B7" t="s">
        <v>27</v>
      </c>
      <c r="C7">
        <v>3177</v>
      </c>
      <c r="D7" s="1">
        <v>3792663635</v>
      </c>
      <c r="E7" s="1">
        <v>878962152.41706645</v>
      </c>
      <c r="F7" s="1">
        <v>631674231.3967495</v>
      </c>
      <c r="G7" s="1">
        <v>1193787.73528486</v>
      </c>
      <c r="H7" s="1">
        <v>276664.19654298603</v>
      </c>
      <c r="I7" s="1">
        <v>198827.26830240781</v>
      </c>
      <c r="J7" t="s">
        <v>28</v>
      </c>
    </row>
    <row r="8" spans="1:10" x14ac:dyDescent="0.2">
      <c r="A8" t="s">
        <v>56</v>
      </c>
      <c r="B8" t="s">
        <v>21</v>
      </c>
      <c r="C8">
        <v>3324</v>
      </c>
      <c r="D8" s="1">
        <v>4519990722</v>
      </c>
      <c r="E8" s="1">
        <v>890527422.99719453</v>
      </c>
      <c r="F8" s="1">
        <v>590517979.22044683</v>
      </c>
      <c r="G8" s="1">
        <v>1359804.6696750899</v>
      </c>
      <c r="H8" s="1">
        <v>267908.37033609941</v>
      </c>
      <c r="I8" s="1">
        <v>177652.82166680109</v>
      </c>
      <c r="J8" t="s">
        <v>22</v>
      </c>
    </row>
    <row r="9" spans="1:10" ht="16" x14ac:dyDescent="0.2">
      <c r="A9" s="5" t="s">
        <v>57</v>
      </c>
      <c r="B9" t="s">
        <v>9</v>
      </c>
      <c r="C9">
        <v>25</v>
      </c>
      <c r="D9" s="1">
        <v>412866477</v>
      </c>
      <c r="E9" s="1">
        <v>67871158.511296645</v>
      </c>
      <c r="F9" s="1">
        <v>39838233.712900683</v>
      </c>
      <c r="G9" s="1">
        <v>16514659.08</v>
      </c>
      <c r="H9" s="1">
        <v>2714846.3404518659</v>
      </c>
      <c r="I9" s="1">
        <v>1593529.348516027</v>
      </c>
      <c r="J9" t="s">
        <v>10</v>
      </c>
    </row>
    <row r="10" spans="1:10" x14ac:dyDescent="0.2">
      <c r="A10" t="s">
        <v>43</v>
      </c>
      <c r="B10" t="s">
        <v>19</v>
      </c>
      <c r="C10">
        <v>193</v>
      </c>
      <c r="D10" s="1">
        <v>312915175</v>
      </c>
      <c r="E10" s="1">
        <v>63841854.8089782</v>
      </c>
      <c r="F10" s="1">
        <v>42836819.232355602</v>
      </c>
      <c r="G10" s="1">
        <v>1621322.1502590671</v>
      </c>
      <c r="H10" s="1">
        <v>330786.81248175231</v>
      </c>
      <c r="I10" s="1">
        <v>221952.4312557285</v>
      </c>
      <c r="J10" t="s">
        <v>20</v>
      </c>
    </row>
    <row r="11" spans="1:10" ht="16" x14ac:dyDescent="0.2">
      <c r="A11" s="5" t="s">
        <v>44</v>
      </c>
      <c r="B11" t="s">
        <v>39</v>
      </c>
      <c r="C11">
        <v>590</v>
      </c>
      <c r="D11" s="1">
        <v>149841064</v>
      </c>
      <c r="E11" s="1">
        <v>29951011.833785851</v>
      </c>
      <c r="F11" s="1">
        <v>20150435.70466432</v>
      </c>
      <c r="G11" s="1">
        <v>253967.90508474581</v>
      </c>
      <c r="H11" s="1">
        <v>50764.426836925173</v>
      </c>
      <c r="I11" s="1">
        <v>34153.280855363257</v>
      </c>
      <c r="J11" t="s">
        <v>40</v>
      </c>
    </row>
    <row r="12" spans="1:10" ht="16" x14ac:dyDescent="0.2">
      <c r="A12" s="5" t="s">
        <v>45</v>
      </c>
      <c r="B12" t="s">
        <v>33</v>
      </c>
      <c r="C12">
        <v>4659</v>
      </c>
      <c r="D12" s="1">
        <v>3452580019</v>
      </c>
      <c r="E12" s="1">
        <v>766520625.38173258</v>
      </c>
      <c r="F12" s="1">
        <v>536122084.38579601</v>
      </c>
      <c r="G12" s="1">
        <v>741056.02468340844</v>
      </c>
      <c r="H12" s="1">
        <v>164524.71032018299</v>
      </c>
      <c r="I12" s="1">
        <v>115072.35123112171</v>
      </c>
      <c r="J12" t="s">
        <v>34</v>
      </c>
    </row>
    <row r="13" spans="1:10" x14ac:dyDescent="0.2">
      <c r="A13" t="s">
        <v>46</v>
      </c>
      <c r="B13" t="s">
        <v>25</v>
      </c>
      <c r="C13">
        <v>1131</v>
      </c>
      <c r="D13" s="1">
        <v>1505614337</v>
      </c>
      <c r="E13" s="1">
        <v>273092572.46668351</v>
      </c>
      <c r="F13" s="1">
        <v>171772005.0878855</v>
      </c>
      <c r="G13" s="1">
        <v>1331223.9938107871</v>
      </c>
      <c r="H13" s="1">
        <v>241461.16044799599</v>
      </c>
      <c r="I13" s="1">
        <v>151876.22023685719</v>
      </c>
      <c r="J13" t="s">
        <v>26</v>
      </c>
    </row>
    <row r="14" spans="1:10" ht="16" x14ac:dyDescent="0.2">
      <c r="A14" s="5" t="s">
        <v>47</v>
      </c>
      <c r="B14" t="s">
        <v>13</v>
      </c>
      <c r="C14">
        <v>1093</v>
      </c>
      <c r="D14" s="1">
        <v>5249168255</v>
      </c>
      <c r="E14" s="1">
        <v>1062006519.253134</v>
      </c>
      <c r="F14" s="1">
        <v>714707334.00687981</v>
      </c>
      <c r="G14" s="1">
        <v>4802532.7127172919</v>
      </c>
      <c r="H14" s="1">
        <v>971643.65896901558</v>
      </c>
      <c r="I14" s="1">
        <v>653895.09058268962</v>
      </c>
      <c r="J14" t="s">
        <v>14</v>
      </c>
    </row>
    <row r="15" spans="1:10" ht="16" x14ac:dyDescent="0.2">
      <c r="A15" s="5" t="s">
        <v>48</v>
      </c>
      <c r="B15" t="s">
        <v>11</v>
      </c>
      <c r="C15">
        <v>209</v>
      </c>
      <c r="D15" s="1">
        <v>2101591910</v>
      </c>
      <c r="E15" s="1">
        <v>353122583.6900481</v>
      </c>
      <c r="F15" s="1">
        <v>209499180.04813269</v>
      </c>
      <c r="G15" s="1">
        <v>10055463.68421053</v>
      </c>
      <c r="H15" s="1">
        <v>1689581.7401437711</v>
      </c>
      <c r="I15" s="1">
        <v>1002388.421282931</v>
      </c>
      <c r="J15" t="s">
        <v>12</v>
      </c>
    </row>
    <row r="16" spans="1:10" x14ac:dyDescent="0.2">
      <c r="A16" t="s">
        <v>49</v>
      </c>
      <c r="B16" t="s">
        <v>29</v>
      </c>
      <c r="C16">
        <v>2766</v>
      </c>
      <c r="D16" s="1">
        <v>2817634667</v>
      </c>
      <c r="E16" s="1">
        <v>656874759.31363213</v>
      </c>
      <c r="F16" s="1">
        <v>473024694.91466689</v>
      </c>
      <c r="G16" s="1">
        <v>1018667.63087491</v>
      </c>
      <c r="H16" s="1">
        <v>237481.8363389849</v>
      </c>
      <c r="I16" s="1">
        <v>171013.98948469519</v>
      </c>
      <c r="J16" t="s">
        <v>30</v>
      </c>
    </row>
    <row r="17" spans="1:10" ht="16" x14ac:dyDescent="0.2">
      <c r="A17" s="5" t="s">
        <v>50</v>
      </c>
      <c r="B17" t="s">
        <v>35</v>
      </c>
      <c r="C17">
        <v>5283</v>
      </c>
      <c r="D17" s="1">
        <v>3429775282</v>
      </c>
      <c r="E17" s="1">
        <v>635641927.66403306</v>
      </c>
      <c r="F17" s="1">
        <v>403988189.2702648</v>
      </c>
      <c r="G17" s="1">
        <v>649209.78269922396</v>
      </c>
      <c r="H17" s="1">
        <v>120318.3660162849</v>
      </c>
      <c r="I17" s="1">
        <v>76469.466074250391</v>
      </c>
      <c r="J17" t="s">
        <v>36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A2DFA-1495-5240-8572-114420045B74}">
  <dimension ref="A1:J18"/>
  <sheetViews>
    <sheetView tabSelected="1" workbookViewId="0">
      <selection activeCell="E30" sqref="E30"/>
    </sheetView>
  </sheetViews>
  <sheetFormatPr baseColWidth="10" defaultRowHeight="15" x14ac:dyDescent="0.2"/>
  <cols>
    <col min="1" max="1" width="44.1640625" bestFit="1" customWidth="1"/>
    <col min="2" max="2" width="13.5" customWidth="1"/>
    <col min="3" max="3" width="15.6640625" bestFit="1" customWidth="1"/>
    <col min="4" max="4" width="14.6640625" bestFit="1" customWidth="1"/>
    <col min="5" max="5" width="16.1640625" customWidth="1"/>
    <col min="6" max="6" width="17.1640625" customWidth="1"/>
    <col min="7" max="7" width="15.33203125" customWidth="1"/>
  </cols>
  <sheetData>
    <row r="1" spans="1:10" x14ac:dyDescent="0.2">
      <c r="A1" s="8" t="s">
        <v>41</v>
      </c>
      <c r="B1" s="2" t="s">
        <v>1</v>
      </c>
      <c r="C1" s="2" t="s">
        <v>2</v>
      </c>
      <c r="D1" s="2" t="s">
        <v>3</v>
      </c>
      <c r="E1" s="8" t="s">
        <v>5</v>
      </c>
      <c r="F1" s="8" t="s">
        <v>6</v>
      </c>
      <c r="G1" s="8" t="s">
        <v>7</v>
      </c>
    </row>
    <row r="2" spans="1:10" ht="16" x14ac:dyDescent="0.2">
      <c r="A2" s="11" t="s">
        <v>52</v>
      </c>
      <c r="B2" s="3">
        <v>6574</v>
      </c>
      <c r="C2" s="6">
        <v>14957433585</v>
      </c>
      <c r="D2" s="6">
        <v>2957330133.9337678</v>
      </c>
      <c r="E2" s="9">
        <v>2275241</v>
      </c>
      <c r="F2" s="15">
        <v>449852</v>
      </c>
      <c r="G2" s="15">
        <v>299266</v>
      </c>
      <c r="I2" s="17">
        <f>Table2[[#This Row],[Margen 2/cliente]]/1000</f>
        <v>449.85199999999998</v>
      </c>
      <c r="J2" s="17">
        <f>Table2[[#This Row],[EBITDA/cliente]]/1000</f>
        <v>299.26600000000002</v>
      </c>
    </row>
    <row r="3" spans="1:10" ht="16" x14ac:dyDescent="0.2">
      <c r="A3" s="11" t="s">
        <v>47</v>
      </c>
      <c r="B3" s="3">
        <v>1093</v>
      </c>
      <c r="C3" s="6">
        <v>5249168255</v>
      </c>
      <c r="D3" s="6">
        <v>1062006519.253134</v>
      </c>
      <c r="E3" s="9">
        <v>4802533</v>
      </c>
      <c r="F3" s="15">
        <v>971644</v>
      </c>
      <c r="G3" s="15">
        <v>653895</v>
      </c>
      <c r="I3" s="17">
        <f>Table2[[#This Row],[Margen 2/cliente]]/1000</f>
        <v>971.64400000000001</v>
      </c>
      <c r="J3" s="17">
        <f>Table2[[#This Row],[EBITDA/cliente]]/1000</f>
        <v>653.89499999999998</v>
      </c>
    </row>
    <row r="4" spans="1:10" x14ac:dyDescent="0.2">
      <c r="A4" s="12" t="s">
        <v>56</v>
      </c>
      <c r="B4" s="3">
        <v>3324</v>
      </c>
      <c r="C4" s="6">
        <v>4519990722</v>
      </c>
      <c r="D4" s="6">
        <v>890527422.99719453</v>
      </c>
      <c r="E4" s="9">
        <v>1359805</v>
      </c>
      <c r="F4" s="15">
        <v>267908</v>
      </c>
      <c r="G4" s="15">
        <v>177653</v>
      </c>
      <c r="I4" s="17">
        <f>Table2[[#This Row],[Margen 2/cliente]]/1000</f>
        <v>267.90800000000002</v>
      </c>
      <c r="J4" s="17">
        <f>Table2[[#This Row],[EBITDA/cliente]]/1000</f>
        <v>177.65299999999999</v>
      </c>
    </row>
    <row r="5" spans="1:10" x14ac:dyDescent="0.2">
      <c r="A5" s="12" t="s">
        <v>55</v>
      </c>
      <c r="B5" s="3">
        <v>3177</v>
      </c>
      <c r="C5" s="6">
        <v>3792663635</v>
      </c>
      <c r="D5" s="6">
        <v>878962152.41706645</v>
      </c>
      <c r="E5" s="9">
        <v>1193788</v>
      </c>
      <c r="F5" s="15">
        <v>276664</v>
      </c>
      <c r="G5" s="15">
        <v>198827</v>
      </c>
      <c r="I5" s="17">
        <f>Table2[[#This Row],[Margen 2/cliente]]/1000</f>
        <v>276.66399999999999</v>
      </c>
      <c r="J5" s="17">
        <f>Table2[[#This Row],[EBITDA/cliente]]/1000</f>
        <v>198.827</v>
      </c>
    </row>
    <row r="6" spans="1:10" ht="16" x14ac:dyDescent="0.2">
      <c r="A6" s="11" t="s">
        <v>45</v>
      </c>
      <c r="B6" s="3">
        <v>4659</v>
      </c>
      <c r="C6" s="6">
        <v>3452580019</v>
      </c>
      <c r="D6" s="6">
        <v>766520625.38173258</v>
      </c>
      <c r="E6" s="9">
        <v>741056</v>
      </c>
      <c r="F6" s="15">
        <v>164525</v>
      </c>
      <c r="G6" s="15">
        <v>115072</v>
      </c>
      <c r="I6" s="17">
        <f>Table2[[#This Row],[Margen 2/cliente]]/1000</f>
        <v>164.52500000000001</v>
      </c>
      <c r="J6" s="17">
        <f>Table2[[#This Row],[EBITDA/cliente]]/1000</f>
        <v>115.072</v>
      </c>
    </row>
    <row r="7" spans="1:10" x14ac:dyDescent="0.2">
      <c r="A7" s="12" t="s">
        <v>49</v>
      </c>
      <c r="B7" s="3">
        <v>2766</v>
      </c>
      <c r="C7" s="6">
        <v>2817634667</v>
      </c>
      <c r="D7" s="6">
        <v>656874759.31363213</v>
      </c>
      <c r="E7" s="9">
        <v>1018668</v>
      </c>
      <c r="F7" s="15">
        <v>237482</v>
      </c>
      <c r="G7" s="15">
        <v>171014</v>
      </c>
      <c r="I7" s="17">
        <f>Table2[[#This Row],[Margen 2/cliente]]/1000</f>
        <v>237.482</v>
      </c>
      <c r="J7" s="17">
        <f>Table2[[#This Row],[EBITDA/cliente]]/1000</f>
        <v>171.01400000000001</v>
      </c>
    </row>
    <row r="8" spans="1:10" ht="16" x14ac:dyDescent="0.2">
      <c r="A8" s="11" t="s">
        <v>50</v>
      </c>
      <c r="B8" s="3">
        <v>5283</v>
      </c>
      <c r="C8" s="6">
        <v>3429775282</v>
      </c>
      <c r="D8" s="6">
        <v>635641927.66403306</v>
      </c>
      <c r="E8" s="9">
        <v>649210</v>
      </c>
      <c r="F8" s="15">
        <v>120318</v>
      </c>
      <c r="G8" s="15">
        <v>76469</v>
      </c>
      <c r="I8" s="17">
        <f>Table2[[#This Row],[Margen 2/cliente]]/1000</f>
        <v>120.318</v>
      </c>
      <c r="J8" s="17">
        <f>Table2[[#This Row],[EBITDA/cliente]]/1000</f>
        <v>76.468999999999994</v>
      </c>
    </row>
    <row r="9" spans="1:10" ht="16" x14ac:dyDescent="0.2">
      <c r="A9" s="11" t="s">
        <v>42</v>
      </c>
      <c r="B9" s="3">
        <v>3715</v>
      </c>
      <c r="C9" s="6">
        <v>3528990871</v>
      </c>
      <c r="D9" s="6">
        <v>405804401.0355202</v>
      </c>
      <c r="E9" s="9">
        <v>949930</v>
      </c>
      <c r="F9" s="15">
        <v>109234</v>
      </c>
      <c r="G9" s="15">
        <v>47896</v>
      </c>
      <c r="I9" s="17">
        <f>Table2[[#This Row],[Margen 2/cliente]]/1000</f>
        <v>109.23399999999999</v>
      </c>
      <c r="J9" s="17">
        <f>Table2[[#This Row],[EBITDA/cliente]]/1000</f>
        <v>47.896000000000001</v>
      </c>
    </row>
    <row r="10" spans="1:10" ht="16" x14ac:dyDescent="0.2">
      <c r="A10" s="11" t="s">
        <v>48</v>
      </c>
      <c r="B10" s="3">
        <v>209</v>
      </c>
      <c r="C10" s="6">
        <v>2101591910</v>
      </c>
      <c r="D10" s="6">
        <v>353122583.6900481</v>
      </c>
      <c r="E10" s="9">
        <v>10055464</v>
      </c>
      <c r="F10" s="15">
        <v>1689582</v>
      </c>
      <c r="G10" s="15">
        <v>1002388</v>
      </c>
      <c r="I10" s="17">
        <f>Table2[[#This Row],[Margen 2/cliente]]/1000</f>
        <v>1689.5820000000001</v>
      </c>
      <c r="J10" s="17">
        <f>Table2[[#This Row],[EBITDA/cliente]]/1000</f>
        <v>1002.388</v>
      </c>
    </row>
    <row r="11" spans="1:10" x14ac:dyDescent="0.2">
      <c r="A11" s="12" t="s">
        <v>46</v>
      </c>
      <c r="B11" s="3">
        <v>1131</v>
      </c>
      <c r="C11" s="6">
        <v>1505614337</v>
      </c>
      <c r="D11" s="6">
        <v>273092572.46668351</v>
      </c>
      <c r="E11" s="9">
        <v>1331224</v>
      </c>
      <c r="F11" s="15">
        <v>241461</v>
      </c>
      <c r="G11" s="15">
        <v>151876</v>
      </c>
      <c r="I11" s="17">
        <f>Table2[[#This Row],[Margen 2/cliente]]/1000</f>
        <v>241.46100000000001</v>
      </c>
      <c r="J11" s="17">
        <f>Table2[[#This Row],[EBITDA/cliente]]/1000</f>
        <v>151.876</v>
      </c>
    </row>
    <row r="12" spans="1:10" ht="16" x14ac:dyDescent="0.2">
      <c r="A12" s="11" t="s">
        <v>54</v>
      </c>
      <c r="B12" s="3">
        <v>1517</v>
      </c>
      <c r="C12" s="6">
        <v>664281933</v>
      </c>
      <c r="D12" s="6">
        <v>122533834.4848543</v>
      </c>
      <c r="E12" s="9">
        <v>437892</v>
      </c>
      <c r="F12" s="15">
        <v>80774</v>
      </c>
      <c r="G12" s="15">
        <v>52583</v>
      </c>
      <c r="I12" s="17">
        <f>Table2[[#This Row],[Margen 2/cliente]]/1000</f>
        <v>80.774000000000001</v>
      </c>
      <c r="J12" s="17">
        <f>Table2[[#This Row],[EBITDA/cliente]]/1000</f>
        <v>52.582999999999998</v>
      </c>
    </row>
    <row r="13" spans="1:10" ht="16" x14ac:dyDescent="0.2">
      <c r="A13" s="11" t="s">
        <v>51</v>
      </c>
      <c r="B13" s="3">
        <v>345</v>
      </c>
      <c r="C13" s="6">
        <v>466433956</v>
      </c>
      <c r="D13" s="6">
        <v>84095045.537973151</v>
      </c>
      <c r="E13" s="9">
        <v>1351982</v>
      </c>
      <c r="F13" s="15">
        <v>243754</v>
      </c>
      <c r="G13" s="15">
        <v>152001</v>
      </c>
      <c r="I13" s="17">
        <f>Table2[[#This Row],[Margen 2/cliente]]/1000</f>
        <v>243.75399999999999</v>
      </c>
      <c r="J13" s="17">
        <f>Table2[[#This Row],[EBITDA/cliente]]/1000</f>
        <v>152.001</v>
      </c>
    </row>
    <row r="14" spans="1:10" ht="16" x14ac:dyDescent="0.2">
      <c r="A14" s="11" t="s">
        <v>57</v>
      </c>
      <c r="B14" s="3">
        <v>25</v>
      </c>
      <c r="C14" s="6">
        <v>412866477</v>
      </c>
      <c r="D14" s="6">
        <v>67871158.511296645</v>
      </c>
      <c r="E14" s="9">
        <v>16514659</v>
      </c>
      <c r="F14" s="15">
        <v>2714846</v>
      </c>
      <c r="G14" s="15">
        <v>1593529</v>
      </c>
      <c r="I14" s="17">
        <f>Table2[[#This Row],[Margen 2/cliente]]/1000</f>
        <v>2714.846</v>
      </c>
      <c r="J14" s="17">
        <f>Table2[[#This Row],[EBITDA/cliente]]/1000</f>
        <v>1593.529</v>
      </c>
    </row>
    <row r="15" spans="1:10" x14ac:dyDescent="0.2">
      <c r="A15" s="12" t="s">
        <v>43</v>
      </c>
      <c r="B15" s="3">
        <v>193</v>
      </c>
      <c r="C15" s="6">
        <v>312915175</v>
      </c>
      <c r="D15" s="6">
        <v>63841854.8089782</v>
      </c>
      <c r="E15" s="9">
        <v>1621322</v>
      </c>
      <c r="F15" s="15">
        <v>330787</v>
      </c>
      <c r="G15" s="15">
        <v>221952</v>
      </c>
      <c r="I15" s="17">
        <f>Table2[[#This Row],[Margen 2/cliente]]/1000</f>
        <v>330.78699999999998</v>
      </c>
      <c r="J15" s="17">
        <f>Table2[[#This Row],[EBITDA/cliente]]/1000</f>
        <v>221.952</v>
      </c>
    </row>
    <row r="16" spans="1:10" ht="16" x14ac:dyDescent="0.2">
      <c r="A16" s="11" t="s">
        <v>53</v>
      </c>
      <c r="B16" s="3">
        <v>111</v>
      </c>
      <c r="C16" s="6">
        <v>185694520</v>
      </c>
      <c r="D16" s="6">
        <v>40308116.182002969</v>
      </c>
      <c r="E16" s="9">
        <v>1672924</v>
      </c>
      <c r="F16" s="15">
        <v>363136</v>
      </c>
      <c r="G16" s="15">
        <v>251896</v>
      </c>
      <c r="I16" s="17">
        <f>Table2[[#This Row],[Margen 2/cliente]]/1000</f>
        <v>363.13600000000002</v>
      </c>
      <c r="J16" s="17">
        <f>Table2[[#This Row],[EBITDA/cliente]]/1000</f>
        <v>251.89599999999999</v>
      </c>
    </row>
    <row r="17" spans="1:10" ht="16" x14ac:dyDescent="0.2">
      <c r="A17" s="13" t="s">
        <v>44</v>
      </c>
      <c r="B17" s="4">
        <v>590</v>
      </c>
      <c r="C17" s="7">
        <v>149841064</v>
      </c>
      <c r="D17" s="7">
        <v>29951011.833785851</v>
      </c>
      <c r="E17" s="10">
        <v>253968</v>
      </c>
      <c r="F17" s="16">
        <v>50764</v>
      </c>
      <c r="G17" s="16">
        <v>34153</v>
      </c>
      <c r="I17" s="17">
        <f>Table2[[#This Row],[Margen 2/cliente]]/1000</f>
        <v>50.764000000000003</v>
      </c>
      <c r="J17" s="17">
        <f>Table2[[#This Row],[EBITDA/cliente]]/1000</f>
        <v>34.152999999999999</v>
      </c>
    </row>
    <row r="18" spans="1:10" ht="16" x14ac:dyDescent="0.2">
      <c r="A18" s="11"/>
      <c r="B18" s="3"/>
      <c r="C18" s="14">
        <f>SUM(Table2[Ingresos])</f>
        <v>47547476408</v>
      </c>
      <c r="D18" s="14">
        <f>SUM(Table2[Margen 2])</f>
        <v>9288484119.5117054</v>
      </c>
      <c r="E18" s="14">
        <f>SUM(Table2[Ingresos/cliente])</f>
        <v>46229666</v>
      </c>
      <c r="F18" s="14">
        <f>SUM(Table2[Margen 2/cliente])</f>
        <v>8312731</v>
      </c>
      <c r="G18" s="14">
        <f>SUM(Table2[EBITDA/cliente])</f>
        <v>5200470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Vicente Migone</cp:lastModifiedBy>
  <dcterms:created xsi:type="dcterms:W3CDTF">2026-04-28T05:08:19Z</dcterms:created>
  <dcterms:modified xsi:type="dcterms:W3CDTF">2026-04-28T16:54:20Z</dcterms:modified>
</cp:coreProperties>
</file>